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tahillah.aditya.PTFI\Downloads\"/>
    </mc:Choice>
  </mc:AlternateContent>
  <xr:revisionPtr revIDLastSave="0" documentId="8_{B674CF62-32C9-46D2-98E0-E8D0DAB195D0}" xr6:coauthVersionLast="47" xr6:coauthVersionMax="47" xr10:uidLastSave="{00000000-0000-0000-0000-000000000000}"/>
  <bookViews>
    <workbookView xWindow="-120" yWindow="-120" windowWidth="29040" windowHeight="15720" activeTab="1" xr2:uid="{835D1028-63A5-49EF-9426-4093BA0E06BF}"/>
  </bookViews>
  <sheets>
    <sheet name="Instructions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2" l="1" a="1"/>
  <c r="L6" i="2" s="1"/>
  <c r="L5" i="2"/>
  <c r="L4" i="2" a="1"/>
  <c r="L4" i="2" s="1"/>
  <c r="L3" i="2"/>
  <c r="L2" i="2"/>
  <c r="J3" i="2"/>
  <c r="J4" i="2"/>
  <c r="J5" i="2"/>
  <c r="J6" i="2"/>
  <c r="J7" i="2"/>
  <c r="J8" i="2"/>
  <c r="J9" i="2"/>
  <c r="J10" i="2"/>
  <c r="J11" i="2"/>
  <c r="J2" i="2"/>
  <c r="I3" i="2"/>
  <c r="I4" i="2"/>
  <c r="I5" i="2"/>
  <c r="I6" i="2"/>
  <c r="I7" i="2"/>
  <c r="I8" i="2"/>
  <c r="I9" i="2"/>
  <c r="I10" i="2"/>
  <c r="I11" i="2"/>
  <c r="I2" i="2"/>
  <c r="H3" i="2"/>
  <c r="H4" i="2"/>
  <c r="H5" i="2"/>
  <c r="H6" i="2"/>
  <c r="H7" i="2"/>
  <c r="H8" i="2"/>
  <c r="H9" i="2"/>
  <c r="H10" i="2"/>
  <c r="H11" i="2"/>
  <c r="H2" i="2"/>
  <c r="C9" i="1" a="1"/>
  <c r="C9" i="1" s="1"/>
  <c r="C8" i="1"/>
  <c r="C7" i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<sst xmlns="http://schemas.openxmlformats.org/spreadsheetml/2006/main" count="54" uniqueCount="35">
  <si>
    <t>Spike S1 — Rekap Produksi PT Maju &amp; Jaya</t>
  </si>
  <si>
    <t>PT Maju &amp; Jaya mencatat produksi tiga lini selama dua shift.
Gunakan sheet "Data" untuk menjawab soal; batch dengan cacat &lt; 2% dianggap "baik".</t>
  </si>
  <si>
    <t>1. Hitung total Unit Diproduksi untuk Lini A.</t>
  </si>
  <si>
    <t>2. Hitung total Unit Cacat untuk shift Malam.</t>
  </si>
  <si>
    <t>3. Hitung rata-rata Biaya per Unit untuk produk Baut M8.</t>
  </si>
  <si>
    <t>4. Hitung persentase cacat keseluruhan (Unit Cacat / Unit Diproduksi).</t>
  </si>
  <si>
    <t>5. Tandai setiap batch dengan cacat &gt; 3% sebagai "Periksa".</t>
  </si>
  <si>
    <t>Kode Batch</t>
  </si>
  <si>
    <t>Lini</t>
  </si>
  <si>
    <t>Shift</t>
  </si>
  <si>
    <t>Produk</t>
  </si>
  <si>
    <t>Unit Diproduksi</t>
  </si>
  <si>
    <t>Unit Cacat</t>
  </si>
  <si>
    <t>Biaya per Unit</t>
  </si>
  <si>
    <t>B-2610-01</t>
  </si>
  <si>
    <t>Lini A</t>
  </si>
  <si>
    <t>Pagi</t>
  </si>
  <si>
    <t>Baut M8</t>
  </si>
  <si>
    <t>B-2610-02</t>
  </si>
  <si>
    <t>Malam</t>
  </si>
  <si>
    <t>B-2610-03</t>
  </si>
  <si>
    <t>Lini B</t>
  </si>
  <si>
    <t>Mur M8</t>
  </si>
  <si>
    <t>B-2610-04</t>
  </si>
  <si>
    <t>B-2610-05</t>
  </si>
  <si>
    <t>Lini C</t>
  </si>
  <si>
    <t>Ring Plat 10 mm</t>
  </si>
  <si>
    <t>B-2610-06</t>
  </si>
  <si>
    <t>B-2610-07</t>
  </si>
  <si>
    <t>Baut M10</t>
  </si>
  <si>
    <t>B-2610-08</t>
  </si>
  <si>
    <t>B-2610-09</t>
  </si>
  <si>
    <t>Mur M10</t>
  </si>
  <si>
    <t>B-2610-10</t>
  </si>
  <si>
    <t>Ring Plat 12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</si>
</sst>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3</xdr:col>
          <xdr:colOff>600075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C1D47-A578-4EB4-88BF-F9D2CC16CB8C}">
  <sheetPr codeName="Sheet1"/>
  <dimension ref="B2:C10"/>
  <sheetViews>
    <sheetView workbookViewId="0">
      <selection activeCell="C11" sqref="C11"/>
    </sheetView>
  </sheetViews>
  <sheetFormatPr defaultRowHeight="15" x14ac:dyDescent="0.25"/>
  <cols>
    <col min="2" max="2" width="80.7109375" customWidth="1"/>
  </cols>
  <sheetData>
    <row r="2" spans="2:3" ht="18.75" x14ac:dyDescent="0.3">
      <c r="B2" s="1" t="s">
        <v>0</v>
      </c>
    </row>
    <row r="4" spans="2:3" x14ac:dyDescent="0.25">
      <c r="B4" s="2" t="s">
        <v>1</v>
      </c>
    </row>
    <row r="6" spans="2:3" x14ac:dyDescent="0.25">
      <c r="B6" s="2" t="s">
        <v>2</v>
      </c>
      <c r="C6">
        <f>SUMIFS(Data!E2:E11,Data!B2:B11, "Lini A")</f>
        <v>4125</v>
      </c>
    </row>
    <row r="7" spans="2:3" x14ac:dyDescent="0.25">
      <c r="B7" s="2" t="s">
        <v>3</v>
      </c>
      <c r="C7">
        <f>SUMIFS(Data!F2:F11,Data!C2:C11,"Malam")</f>
        <v>226</v>
      </c>
    </row>
    <row r="8" spans="2:3" x14ac:dyDescent="0.25">
      <c r="B8" s="2" t="s">
        <v>4</v>
      </c>
      <c r="C8">
        <f>AVERAGEIFS(Data!G2:G11,Data!D2:D11,"Baut M8")</f>
        <v>1250.5</v>
      </c>
    </row>
    <row r="9" spans="2:3" x14ac:dyDescent="0.25">
      <c r="B9" s="2" t="s">
        <v>5</v>
      </c>
      <c r="C9" cm="1">
        <f t="array" ref="C9">SUM(Data!F2:F11/SUM(Data!E2:E11))</f>
        <v>2.2998872604284102E-2</v>
      </c>
    </row>
    <row r="10" spans="2:3" x14ac:dyDescent="0.25">
      <c r="B10" s="2" t="s">
        <v>6</v>
      </c>
      <c r="C10">
        <v>226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nish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3</xdr:col>
                    <xdr:colOff>600075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6A3F6-7360-4B60-B855-C47BDFB6B6BA}">
  <sheetPr codeName="Sheet2"/>
  <dimension ref="A1:L11"/>
  <sheetViews>
    <sheetView tabSelected="1" workbookViewId="0">
      <selection activeCell="L6" sqref="L6"/>
    </sheetView>
  </sheetViews>
  <sheetFormatPr defaultRowHeight="15" x14ac:dyDescent="0.25"/>
  <cols>
    <col min="7" max="7" width="13.425781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12" x14ac:dyDescent="0.25">
      <c r="A2" t="s">
        <v>14</v>
      </c>
      <c r="B2" t="s">
        <v>15</v>
      </c>
      <c r="C2" t="s">
        <v>16</v>
      </c>
      <c r="D2" t="s">
        <v>17</v>
      </c>
      <c r="E2">
        <v>1200</v>
      </c>
      <c r="F2">
        <v>18</v>
      </c>
      <c r="G2">
        <v>1250.5</v>
      </c>
      <c r="H2">
        <f>F2/E2</f>
        <v>1.4999999999999999E-2</v>
      </c>
      <c r="I2" t="str">
        <f>IF(H2&gt;3%,"Periksa","OK")</f>
        <v>OK</v>
      </c>
      <c r="J2">
        <f>E2/SUM($E$2:$E$11)</f>
        <v>9.0191657271702363E-2</v>
      </c>
      <c r="L2">
        <f>_xlfn.XLOOKUP("B-2610-05",A2:A11,F2:F11)</f>
        <v>35</v>
      </c>
    </row>
    <row r="3" spans="1:12" x14ac:dyDescent="0.25">
      <c r="A3" t="s">
        <v>18</v>
      </c>
      <c r="B3" t="s">
        <v>15</v>
      </c>
      <c r="C3" t="s">
        <v>19</v>
      </c>
      <c r="D3" t="s">
        <v>17</v>
      </c>
      <c r="E3">
        <v>1150</v>
      </c>
      <c r="F3">
        <v>41</v>
      </c>
      <c r="G3">
        <v>1250.5</v>
      </c>
      <c r="H3">
        <f t="shared" ref="H3:H11" si="0">F3/E3</f>
        <v>3.5652173913043476E-2</v>
      </c>
      <c r="I3" t="str">
        <f t="shared" ref="I3:I11" si="1">IF(H3&gt;3%,"Periksa","OK")</f>
        <v>Periksa</v>
      </c>
      <c r="J3">
        <f t="shared" ref="J3:J11" si="2">E3/SUM($E$2:$E$11)</f>
        <v>8.6433671552048105E-2</v>
      </c>
      <c r="L3">
        <f>INDEX(F2:F11,MATCH("B-2610-08",A2:A11,0))</f>
        <v>31</v>
      </c>
    </row>
    <row r="4" spans="1:12" x14ac:dyDescent="0.25">
      <c r="A4" t="s">
        <v>20</v>
      </c>
      <c r="B4" t="s">
        <v>21</v>
      </c>
      <c r="C4" t="s">
        <v>16</v>
      </c>
      <c r="D4" t="s">
        <v>22</v>
      </c>
      <c r="E4">
        <v>980</v>
      </c>
      <c r="F4">
        <v>9</v>
      </c>
      <c r="G4">
        <v>875.25</v>
      </c>
      <c r="H4">
        <f t="shared" si="0"/>
        <v>9.1836734693877559E-3</v>
      </c>
      <c r="I4" t="str">
        <f t="shared" si="1"/>
        <v>OK</v>
      </c>
      <c r="J4">
        <f t="shared" si="2"/>
        <v>7.3656520105223597E-2</v>
      </c>
      <c r="L4" t="str" cm="1">
        <f t="array" ref="L4">_xlfn.IFS(L2&gt;30,"besar",TRUE,"kecil")</f>
        <v>besar</v>
      </c>
    </row>
    <row r="5" spans="1:12" x14ac:dyDescent="0.25">
      <c r="A5" t="s">
        <v>23</v>
      </c>
      <c r="B5" t="s">
        <v>21</v>
      </c>
      <c r="C5" t="s">
        <v>19</v>
      </c>
      <c r="D5" t="s">
        <v>22</v>
      </c>
      <c r="E5">
        <v>1010</v>
      </c>
      <c r="F5">
        <v>22</v>
      </c>
      <c r="G5">
        <v>875.25</v>
      </c>
      <c r="H5">
        <f t="shared" si="0"/>
        <v>2.1782178217821781E-2</v>
      </c>
      <c r="I5" t="str">
        <f t="shared" si="1"/>
        <v>OK</v>
      </c>
      <c r="J5">
        <f t="shared" si="2"/>
        <v>7.5911311537016163E-2</v>
      </c>
      <c r="L5" t="str">
        <f>IFERROR(VLOOKUP("X",A2:F11,6,FALSE),"tidak ada")</f>
        <v>tidak ada</v>
      </c>
    </row>
    <row r="6" spans="1:12" x14ac:dyDescent="0.25">
      <c r="A6" t="s">
        <v>24</v>
      </c>
      <c r="B6" t="s">
        <v>25</v>
      </c>
      <c r="C6" t="s">
        <v>16</v>
      </c>
      <c r="D6" t="s">
        <v>26</v>
      </c>
      <c r="E6">
        <v>2300</v>
      </c>
      <c r="F6">
        <v>35</v>
      </c>
      <c r="G6">
        <v>310</v>
      </c>
      <c r="H6">
        <f t="shared" si="0"/>
        <v>1.5217391304347827E-2</v>
      </c>
      <c r="I6" t="str">
        <f t="shared" si="1"/>
        <v>OK</v>
      </c>
      <c r="J6">
        <f t="shared" si="2"/>
        <v>0.17286734310409621</v>
      </c>
      <c r="L6" t="str" cm="1">
        <f t="array" ref="L6:L8">_xlfn.UNIQUE(B2:B11)</f>
        <v>Lini A</v>
      </c>
    </row>
    <row r="7" spans="1:12" x14ac:dyDescent="0.25">
      <c r="A7" t="s">
        <v>27</v>
      </c>
      <c r="B7" t="s">
        <v>25</v>
      </c>
      <c r="C7" t="s">
        <v>19</v>
      </c>
      <c r="D7" t="s">
        <v>26</v>
      </c>
      <c r="E7">
        <v>2150</v>
      </c>
      <c r="F7">
        <v>74</v>
      </c>
      <c r="G7">
        <v>310</v>
      </c>
      <c r="H7">
        <f t="shared" si="0"/>
        <v>3.4418604651162789E-2</v>
      </c>
      <c r="I7" t="str">
        <f t="shared" si="1"/>
        <v>Periksa</v>
      </c>
      <c r="J7">
        <f t="shared" si="2"/>
        <v>0.16159338594513342</v>
      </c>
      <c r="L7" t="str">
        <v>Lini B</v>
      </c>
    </row>
    <row r="8" spans="1:12" x14ac:dyDescent="0.25">
      <c r="A8" t="s">
        <v>28</v>
      </c>
      <c r="B8" t="s">
        <v>15</v>
      </c>
      <c r="C8" t="s">
        <v>16</v>
      </c>
      <c r="D8" t="s">
        <v>29</v>
      </c>
      <c r="E8">
        <v>870</v>
      </c>
      <c r="F8">
        <v>12</v>
      </c>
      <c r="G8">
        <v>1680.75</v>
      </c>
      <c r="H8">
        <f t="shared" si="0"/>
        <v>1.3793103448275862E-2</v>
      </c>
      <c r="I8" t="str">
        <f t="shared" si="1"/>
        <v>OK</v>
      </c>
      <c r="J8">
        <f t="shared" si="2"/>
        <v>6.538895152198422E-2</v>
      </c>
      <c r="L8" t="str">
        <v>Lini C</v>
      </c>
    </row>
    <row r="9" spans="1:12" x14ac:dyDescent="0.25">
      <c r="A9" t="s">
        <v>30</v>
      </c>
      <c r="B9" t="s">
        <v>15</v>
      </c>
      <c r="C9" t="s">
        <v>19</v>
      </c>
      <c r="D9" t="s">
        <v>29</v>
      </c>
      <c r="E9">
        <v>905</v>
      </c>
      <c r="F9">
        <v>31</v>
      </c>
      <c r="G9">
        <v>1680.75</v>
      </c>
      <c r="H9">
        <f t="shared" si="0"/>
        <v>3.4254143646408837E-2</v>
      </c>
      <c r="I9" t="str">
        <f t="shared" si="1"/>
        <v>Periksa</v>
      </c>
      <c r="J9">
        <f t="shared" si="2"/>
        <v>6.8019541525742203E-2</v>
      </c>
    </row>
    <row r="10" spans="1:12" x14ac:dyDescent="0.25">
      <c r="A10" t="s">
        <v>31</v>
      </c>
      <c r="B10" t="s">
        <v>21</v>
      </c>
      <c r="C10" t="s">
        <v>16</v>
      </c>
      <c r="D10" t="s">
        <v>32</v>
      </c>
      <c r="E10">
        <v>760</v>
      </c>
      <c r="F10">
        <v>6</v>
      </c>
      <c r="G10">
        <v>1120</v>
      </c>
      <c r="H10">
        <f t="shared" si="0"/>
        <v>7.8947368421052634E-3</v>
      </c>
      <c r="I10" t="str">
        <f t="shared" si="1"/>
        <v>OK</v>
      </c>
      <c r="J10">
        <f t="shared" si="2"/>
        <v>5.712138293874483E-2</v>
      </c>
    </row>
    <row r="11" spans="1:12" x14ac:dyDescent="0.25">
      <c r="A11" t="s">
        <v>33</v>
      </c>
      <c r="B11" t="s">
        <v>25</v>
      </c>
      <c r="C11" t="s">
        <v>19</v>
      </c>
      <c r="D11" t="s">
        <v>34</v>
      </c>
      <c r="E11">
        <v>1980</v>
      </c>
      <c r="F11">
        <v>58</v>
      </c>
      <c r="G11">
        <v>365.5</v>
      </c>
      <c r="H11">
        <f t="shared" si="0"/>
        <v>2.9292929292929294E-2</v>
      </c>
      <c r="I11" t="str">
        <f t="shared" si="1"/>
        <v>OK</v>
      </c>
      <c r="J11">
        <f t="shared" si="2"/>
        <v>0.14881623449830891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Fatahillah Aditya</dc:creator>
  <cp:lastModifiedBy>Fatahillah Aditya</cp:lastModifiedBy>
  <dcterms:created xsi:type="dcterms:W3CDTF">2026-10-23T04:02:29Z</dcterms:created>
  <dcterms:modified xsi:type="dcterms:W3CDTF">2026-10-23T06:18:09Z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HE_AttemptToken">
    <vt:lpwstr>XD3PPwFf6kNRsEmA7qCUBxatFrCUZxr7IVxIKhFJkng</vt:lpwstr>
  </property>
  <property fmtid="{D5CDD505-2E9C-101B-9397-08002B2CF9AE}" pid="3" name="WHE_ServerUrl">
    <vt:lpwstr>https://excel-practice-omega.vercel.app</vt:lpwstr>
  </property>
  <property fmtid="{D5CDD505-2E9C-101B-9397-08002B2CF9AE}" pid="4" name="WHE_TemplateVersion">
    <vt:lpwstr>1</vt:lpwstr>
  </property>
</Properties>
</file>